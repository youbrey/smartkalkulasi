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PJ PERJADIN 2026 (SO PAKE RUMUS)\"/>
    </mc:Choice>
  </mc:AlternateContent>
  <xr:revisionPtr revIDLastSave="0" documentId="13_ncr:1_{7795B253-2ED4-4CC7-8D3D-88E910B04E3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P RIIL" sheetId="1" r:id="rId1"/>
    <sheet name="SP TANGGUNG JAWAB" sheetId="2" r:id="rId2"/>
    <sheet name="KALKULASI" sheetId="3" r:id="rId3"/>
  </sheets>
  <definedNames>
    <definedName name="_xlnm.Print_Area" localSheetId="0">'DP RIIL'!$A$1:$K$46</definedName>
    <definedName name="_xlnm.Print_Area" localSheetId="2">KALKULASI!$A$1:$I$45</definedName>
    <definedName name="_xlnm.Print_Area" localSheetId="1">'SP TANGGUNG JAWAB'!$A$1:$K$30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3" l="1"/>
  <c r="I33" i="3" s="1"/>
  <c r="I22" i="1"/>
  <c r="K22" i="1" s="1"/>
  <c r="I19" i="1"/>
  <c r="K19" i="1" s="1"/>
  <c r="I35" i="3" l="1"/>
  <c r="I12" i="3"/>
  <c r="I28" i="3" l="1"/>
  <c r="I26" i="3"/>
  <c r="I17" i="3"/>
  <c r="I15" i="3"/>
  <c r="J7" i="3"/>
  <c r="J5" i="3" l="1"/>
  <c r="J8" i="3" s="1"/>
  <c r="I24" i="1"/>
  <c r="I21" i="1"/>
  <c r="I20" i="1"/>
  <c r="K21" i="1" l="1"/>
  <c r="K20" i="1"/>
  <c r="K29" i="1" s="1"/>
</calcChain>
</file>

<file path=xl/sharedStrings.xml><?xml version="1.0" encoding="utf-8"?>
<sst xmlns="http://schemas.openxmlformats.org/spreadsheetml/2006/main" count="156" uniqueCount="88">
  <si>
    <t>DAFTAR PENGELUARAN RILL</t>
  </si>
  <si>
    <t>Yang bertanda tangan dibawah ini :</t>
  </si>
  <si>
    <t>Nama</t>
  </si>
  <si>
    <t>Jabatan</t>
  </si>
  <si>
    <t>No</t>
  </si>
  <si>
    <t>Uraian</t>
  </si>
  <si>
    <t>Jumlah</t>
  </si>
  <si>
    <t>hari</t>
  </si>
  <si>
    <t>x</t>
  </si>
  <si>
    <t>Rp</t>
  </si>
  <si>
    <t>=</t>
  </si>
  <si>
    <t>Uang Representasi</t>
  </si>
  <si>
    <t xml:space="preserve">         -</t>
  </si>
  <si>
    <t>Transportasi dari tempat kedudukan ke terminal bis/bandara/pelabuhan (PP)</t>
  </si>
  <si>
    <t>Transportasi dari terminal bis/bandara/pelabuhan ke tempat tujuan (PP)</t>
  </si>
  <si>
    <t>Transportasi dari tempat tujuan ke tempat tujuan lainnya</t>
  </si>
  <si>
    <t>NIP</t>
  </si>
  <si>
    <t>:  -</t>
  </si>
  <si>
    <t>dengan ini saya menyatakan dengan sesungguhnya bahwa:</t>
  </si>
  <si>
    <t xml:space="preserve">Biaya uang saku, uang makan, biaya transportasi lokal dan transportasi dari tempat kedudukan </t>
  </si>
  <si>
    <t xml:space="preserve">ke terminal bis/bandara/pelabuhan, dari tempat tujuan ke tempat tujuan lainnya dan biaya transit </t>
  </si>
  <si>
    <t>dibawah ini yang tidak dapat diperoleh bukti-bukti pengeluarannya, meliputi :</t>
  </si>
  <si>
    <t>Mengetahui/Menyetujui</t>
  </si>
  <si>
    <t>Sekretaris DPRD Kota Bitung</t>
  </si>
  <si>
    <t>Drs. ALBERT M. SARESE, M.Si.</t>
  </si>
  <si>
    <t>NIP. 19681011 199010 1 002</t>
  </si>
  <si>
    <t>SURAT PERNYATAAN PERTANGGUNGJAWABAN</t>
  </si>
  <si>
    <t>Menyatakan bahwa saya bertanggung jawab penuh atas kebenararan Pelaksanaan</t>
  </si>
  <si>
    <t>Jumlah Dana    :</t>
  </si>
  <si>
    <t>SPD Nomor      :</t>
  </si>
  <si>
    <t>SPT Nomor       :</t>
  </si>
  <si>
    <t>Dokumen pertanggungjawaban perjalanan dinas  disampaikan sesuai ketentuan yang</t>
  </si>
  <si>
    <t>Yang Melaksanakan Perjalanan Dinas,</t>
  </si>
  <si>
    <t>Demikian surat pernyataan ini dibuat dengan sebenarnya.</t>
  </si>
  <si>
    <t xml:space="preserve">KALKULASI BIAYA PERJALANAN DINAS </t>
  </si>
  <si>
    <t xml:space="preserve">Nama </t>
  </si>
  <si>
    <t>:</t>
  </si>
  <si>
    <t>Tujuan</t>
  </si>
  <si>
    <t>Dewan</t>
  </si>
  <si>
    <t>Tgl / Lamanya</t>
  </si>
  <si>
    <t>Pegawai</t>
  </si>
  <si>
    <t>-</t>
  </si>
  <si>
    <t>Tiket Pesawat Pergi</t>
  </si>
  <si>
    <t>Tiket Pesawat Pulang</t>
  </si>
  <si>
    <t xml:space="preserve"> </t>
  </si>
  <si>
    <t>Tiket Kapal Laut</t>
  </si>
  <si>
    <t>Tiket Bus / Kereta Api</t>
  </si>
  <si>
    <t>Iuran Wajib / Kontribusi</t>
  </si>
  <si>
    <t>Biaya Transit</t>
  </si>
  <si>
    <t>Sewa Kendaraan</t>
  </si>
  <si>
    <t>Biaya Transportasi</t>
  </si>
  <si>
    <t>Dibulatkan</t>
  </si>
  <si>
    <t>Mengetahui</t>
  </si>
  <si>
    <t>Rp.</t>
  </si>
  <si>
    <t xml:space="preserve">Jumlah uang tersebut pada angka 1 diatas benar-benar dikeluarkan untuk pelaksanaan perjalanan </t>
  </si>
  <si>
    <t>dinas dimaksud dan apabila dikemudian hari terdapat kelebihan atas pembayaran, kami bersedia</t>
  </si>
  <si>
    <t xml:space="preserve"> untuk mengembalikan/menyetorkan kelebihan tersebut ke  Kas Daerah Pemerintah Kota Bitung.</t>
  </si>
  <si>
    <t>perlunya.</t>
  </si>
  <si>
    <t>Demikian Daftar Pengeluaran Riil ini dibuat dengan sebenarnya, untuk dipergunakan menurut</t>
  </si>
  <si>
    <t>berlaku untuk keperluan administrasi dan keperluan pemeriksaan aparat pengawas.</t>
  </si>
  <si>
    <t>(Mobil/Kapal/Perahu)</t>
  </si>
  <si>
    <t>Perjalanan Dinas sesuai dengan :</t>
  </si>
  <si>
    <t>Manado - Jakarta</t>
  </si>
  <si>
    <t>Pejabat Pelaksana Teknis Kegiatan,</t>
  </si>
  <si>
    <t>Sekretaris DPRD Kota Bitung,</t>
  </si>
  <si>
    <t>Untuk 1 Orang Selama 3 Hari</t>
  </si>
  <si>
    <t>MIRANDA M. MAILENZUN</t>
  </si>
  <si>
    <t>NIP. 19710120 199003 2 002</t>
  </si>
  <si>
    <t xml:space="preserve">                </t>
  </si>
  <si>
    <t>Uang Harian DKI Jakarta</t>
  </si>
  <si>
    <t>Biaya Hotel Banten (30% x 2.373.000)</t>
  </si>
  <si>
    <t>Biaya Hotel Jakarta (30% x 1.490.000)</t>
  </si>
  <si>
    <t>IMRAN LAKODI, S.Sos</t>
  </si>
  <si>
    <t>BITUNG - KOTA BANDUNG-KOTA CIMAHI-KABUPATEN BANDUNG</t>
  </si>
  <si>
    <t>Uang Harian Jawa Barat</t>
  </si>
  <si>
    <t>Biaya Hotel  Jawa Barat</t>
  </si>
  <si>
    <t>(2.755.000x 30%)</t>
  </si>
  <si>
    <t>Bitung,  26 Mei 2025</t>
  </si>
  <si>
    <t>Bitung, 26 Mei 2025</t>
  </si>
  <si>
    <t>19 S/D 21 MEI 2025 / 3 HARI</t>
  </si>
  <si>
    <t>:  IMRAN LAKODI, S.Sos</t>
  </si>
  <si>
    <t>:  ANGGOTA KOMISI I DPRD KOTA BITUNG</t>
  </si>
  <si>
    <t>98/SPT/DPRD/V/2026</t>
  </si>
  <si>
    <t xml:space="preserve">     /SPD/Setwan/V/2026</t>
  </si>
  <si>
    <t>Tanggal  18 Mei 2026</t>
  </si>
  <si>
    <t>Rp.       ,-</t>
  </si>
  <si>
    <t>Bitung, 26 Mei 2026</t>
  </si>
  <si>
    <r>
      <t xml:space="preserve">Berdasarkan Surat Perjalanan Dinas Nomor :    </t>
    </r>
    <r>
      <rPr>
        <b/>
        <i/>
        <sz val="12"/>
        <color theme="1"/>
        <rFont val="Arial"/>
        <family val="2"/>
      </rPr>
      <t>/SPD.LD/Setwan/V/2025</t>
    </r>
    <r>
      <rPr>
        <sz val="12"/>
        <color theme="1"/>
        <rFont val="Arial"/>
        <family val="2"/>
      </rPr>
      <t>, tanggal 18 Mei 2025,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</si>
</sst>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[$Rp-421]* #,##0.00_);_([$Rp-421]* \(#,##0.00\);_([$Rp-421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Arial"/>
      <family val="2"/>
    </font>
    <font>
      <sz val="11"/>
      <name val="Calibri"/>
      <family val="2"/>
      <charset val="1"/>
      <scheme val="minor"/>
    </font>
    <font>
      <b/>
      <sz val="12"/>
      <name val="Calibri"/>
      <family val="2"/>
      <scheme val="minor"/>
    </font>
    <font>
      <u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6"/>
      <color theme="1"/>
      <name val="Arial"/>
      <family val="2"/>
    </font>
    <font>
      <b/>
      <i/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7" fontId="7" fillId="0" borderId="0"/>
    <xf numFmtId="164" fontId="7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 applyAlignment="1">
      <alignment vertical="center"/>
    </xf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7" fontId="8" fillId="0" borderId="0" xfId="2" applyFont="1"/>
    <xf numFmtId="167" fontId="8" fillId="0" borderId="0" xfId="2" applyFont="1" applyAlignment="1">
      <alignment horizontal="center" vertical="center"/>
    </xf>
    <xf numFmtId="167" fontId="9" fillId="0" borderId="0" xfId="2" applyFont="1"/>
    <xf numFmtId="164" fontId="9" fillId="0" borderId="0" xfId="3" applyFont="1"/>
    <xf numFmtId="167" fontId="8" fillId="0" borderId="0" xfId="3" applyNumberFormat="1" applyFont="1" applyFill="1" applyBorder="1"/>
    <xf numFmtId="167" fontId="8" fillId="0" borderId="3" xfId="2" applyFont="1" applyBorder="1"/>
    <xf numFmtId="167" fontId="8" fillId="0" borderId="4" xfId="2" applyFont="1" applyBorder="1"/>
    <xf numFmtId="167" fontId="8" fillId="0" borderId="4" xfId="2" applyFont="1" applyBorder="1" applyAlignment="1">
      <alignment horizontal="center" vertical="center"/>
    </xf>
    <xf numFmtId="167" fontId="8" fillId="0" borderId="5" xfId="3" applyNumberFormat="1" applyFont="1" applyFill="1" applyBorder="1"/>
    <xf numFmtId="167" fontId="8" fillId="0" borderId="8" xfId="2" applyFont="1" applyBorder="1"/>
    <xf numFmtId="167" fontId="8" fillId="0" borderId="9" xfId="3" applyNumberFormat="1" applyFont="1" applyFill="1" applyBorder="1"/>
    <xf numFmtId="167" fontId="8" fillId="0" borderId="10" xfId="2" applyFont="1" applyBorder="1"/>
    <xf numFmtId="167" fontId="8" fillId="0" borderId="11" xfId="2" applyFont="1" applyBorder="1"/>
    <xf numFmtId="167" fontId="2" fillId="0" borderId="11" xfId="2" applyFont="1" applyBorder="1"/>
    <xf numFmtId="167" fontId="8" fillId="0" borderId="11" xfId="2" applyFont="1" applyBorder="1" applyAlignment="1">
      <alignment horizontal="center" vertical="center"/>
    </xf>
    <xf numFmtId="167" fontId="8" fillId="0" borderId="12" xfId="3" applyNumberFormat="1" applyFont="1" applyFill="1" applyBorder="1"/>
    <xf numFmtId="1" fontId="8" fillId="0" borderId="0" xfId="2" applyNumberFormat="1" applyFont="1" applyAlignment="1">
      <alignment horizontal="center" vertical="center"/>
    </xf>
    <xf numFmtId="1" fontId="8" fillId="0" borderId="8" xfId="2" applyNumberFormat="1" applyFont="1" applyBorder="1"/>
    <xf numFmtId="167" fontId="8" fillId="0" borderId="0" xfId="2" quotePrefix="1" applyFont="1"/>
    <xf numFmtId="1" fontId="2" fillId="0" borderId="8" xfId="2" applyNumberFormat="1" applyFont="1" applyBorder="1"/>
    <xf numFmtId="167" fontId="2" fillId="0" borderId="0" xfId="2" applyFont="1"/>
    <xf numFmtId="167" fontId="2" fillId="0" borderId="0" xfId="2" applyFont="1" applyAlignment="1">
      <alignment horizontal="center" vertical="center"/>
    </xf>
    <xf numFmtId="1" fontId="2" fillId="0" borderId="0" xfId="2" applyNumberFormat="1" applyFont="1" applyAlignment="1">
      <alignment horizontal="center" vertical="center"/>
    </xf>
    <xf numFmtId="167" fontId="2" fillId="0" borderId="9" xfId="3" applyNumberFormat="1" applyFont="1" applyFill="1" applyBorder="1"/>
    <xf numFmtId="1" fontId="8" fillId="0" borderId="10" xfId="2" applyNumberFormat="1" applyFont="1" applyBorder="1"/>
    <xf numFmtId="1" fontId="8" fillId="0" borderId="11" xfId="2" applyNumberFormat="1" applyFont="1" applyBorder="1" applyAlignment="1">
      <alignment horizontal="center" vertical="center"/>
    </xf>
    <xf numFmtId="167" fontId="8" fillId="0" borderId="0" xfId="2" applyFont="1" applyAlignment="1">
      <alignment vertical="center"/>
    </xf>
    <xf numFmtId="167" fontId="9" fillId="0" borderId="0" xfId="2" applyFont="1" applyAlignment="1">
      <alignment horizontal="center" vertical="center"/>
    </xf>
    <xf numFmtId="167" fontId="9" fillId="0" borderId="0" xfId="2" applyFont="1" applyAlignment="1">
      <alignment vertical="center"/>
    </xf>
    <xf numFmtId="164" fontId="9" fillId="0" borderId="0" xfId="3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6" fontId="13" fillId="0" borderId="9" xfId="0" applyNumberFormat="1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left" vertical="center" wrapText="1"/>
    </xf>
    <xf numFmtId="166" fontId="13" fillId="0" borderId="0" xfId="1" applyNumberFormat="1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7" xfId="0" applyFont="1" applyBorder="1"/>
    <xf numFmtId="166" fontId="13" fillId="0" borderId="6" xfId="0" applyNumberFormat="1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/>
    </xf>
    <xf numFmtId="166" fontId="13" fillId="0" borderId="6" xfId="1" applyNumberFormat="1" applyFont="1" applyBorder="1" applyAlignment="1">
      <alignment horizontal="left" vertical="center" wrapText="1"/>
    </xf>
    <xf numFmtId="166" fontId="2" fillId="0" borderId="1" xfId="0" applyNumberFormat="1" applyFont="1" applyBorder="1"/>
    <xf numFmtId="167" fontId="16" fillId="0" borderId="4" xfId="2" applyFont="1" applyBorder="1"/>
    <xf numFmtId="164" fontId="8" fillId="0" borderId="0" xfId="2" applyNumberFormat="1" applyFont="1"/>
    <xf numFmtId="167" fontId="11" fillId="0" borderId="0" xfId="2" applyFont="1" applyAlignment="1">
      <alignment horizontal="center" vertical="center"/>
    </xf>
    <xf numFmtId="0" fontId="17" fillId="0" borderId="0" xfId="0" applyFont="1"/>
    <xf numFmtId="164" fontId="2" fillId="0" borderId="0" xfId="3" applyFont="1" applyFill="1" applyBorder="1"/>
    <xf numFmtId="0" fontId="14" fillId="0" borderId="0" xfId="0" applyFont="1" applyAlignment="1">
      <alignment horizontal="center"/>
    </xf>
    <xf numFmtId="0" fontId="13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7" fontId="8" fillId="0" borderId="0" xfId="2" applyFont="1" applyAlignment="1">
      <alignment horizontal="center" vertical="center"/>
    </xf>
    <xf numFmtId="167" fontId="10" fillId="0" borderId="0" xfId="2" applyFont="1" applyAlignment="1">
      <alignment horizontal="center"/>
    </xf>
    <xf numFmtId="167" fontId="11" fillId="0" borderId="0" xfId="2" applyFont="1" applyAlignment="1">
      <alignment horizontal="center" vertical="center"/>
    </xf>
    <xf numFmtId="167" fontId="8" fillId="0" borderId="0" xfId="2" applyFont="1" applyAlignment="1">
      <alignment horizontal="left"/>
    </xf>
    <xf numFmtId="167" fontId="8" fillId="0" borderId="9" xfId="2" applyFont="1" applyBorder="1" applyAlignment="1">
      <alignment horizontal="left"/>
    </xf>
  </cellXfs>
  <cellStyles count="4">
    <cellStyle name="Comma" xfId="1" builtinId="3"/>
    <cellStyle name="Comma [0]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view="pageBreakPreview" zoomScaleNormal="100" zoomScaleSheetLayoutView="100" workbookViewId="0">
      <selection activeCell="A31" sqref="A31"/>
    </sheetView>
  </sheetViews>
  <sheetFormatPr defaultRowHeight="15" x14ac:dyDescent="0.25"/>
  <cols>
    <col min="1" max="1" width="9.140625" customWidth="1"/>
    <col min="2" max="2" width="33.28515625" customWidth="1"/>
    <col min="3" max="3" width="3.7109375" customWidth="1"/>
    <col min="4" max="4" width="5.28515625" customWidth="1"/>
    <col min="5" max="5" width="4" customWidth="1"/>
    <col min="6" max="6" width="4.42578125" customWidth="1"/>
    <col min="7" max="7" width="9.7109375" customWidth="1"/>
    <col min="8" max="8" width="3.5703125" customWidth="1"/>
    <col min="9" max="9" width="10.42578125" customWidth="1"/>
    <col min="10" max="10" width="5.28515625" customWidth="1"/>
    <col min="11" max="11" width="11.7109375" customWidth="1"/>
  </cols>
  <sheetData>
    <row r="1" spans="1:11" x14ac:dyDescent="0.25">
      <c r="A1" t="s">
        <v>68</v>
      </c>
    </row>
    <row r="2" spans="1:11" ht="20.25" x14ac:dyDescent="0.3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15.7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5.7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.75" x14ac:dyDescent="0.25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.7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8.75" customHeight="1" x14ac:dyDescent="0.25">
      <c r="A7" s="1" t="s">
        <v>2</v>
      </c>
      <c r="B7" s="6" t="s">
        <v>80</v>
      </c>
      <c r="C7" s="4"/>
      <c r="D7" s="4"/>
      <c r="E7" s="4"/>
      <c r="F7" s="4"/>
      <c r="G7" s="4"/>
      <c r="H7" s="4"/>
      <c r="I7" s="4"/>
      <c r="J7" s="4"/>
      <c r="K7" s="4"/>
    </row>
    <row r="8" spans="1:11" ht="18.75" customHeight="1" x14ac:dyDescent="0.25">
      <c r="A8" s="1" t="s">
        <v>16</v>
      </c>
      <c r="B8" s="1" t="s">
        <v>17</v>
      </c>
      <c r="C8" s="4"/>
      <c r="D8" s="4"/>
      <c r="E8" s="4"/>
      <c r="F8" s="4"/>
      <c r="G8" s="4"/>
      <c r="H8" s="4"/>
      <c r="I8" s="4"/>
      <c r="J8" s="4"/>
      <c r="K8" s="4"/>
    </row>
    <row r="9" spans="1:11" ht="18.75" customHeight="1" x14ac:dyDescent="0.25">
      <c r="A9" s="1" t="s">
        <v>3</v>
      </c>
      <c r="B9" s="6" t="s">
        <v>81</v>
      </c>
      <c r="C9" s="4"/>
      <c r="D9" s="4"/>
      <c r="E9" s="4"/>
      <c r="F9" s="4"/>
      <c r="G9" s="4"/>
      <c r="H9" s="4"/>
      <c r="I9" s="4"/>
      <c r="J9" s="4"/>
      <c r="K9" s="4"/>
    </row>
    <row r="10" spans="1:11" ht="15.7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1" t="s">
        <v>87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 t="s">
        <v>18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.75" x14ac:dyDescent="0.25">
      <c r="A14" s="3">
        <v>1</v>
      </c>
      <c r="B14" s="4" t="s">
        <v>19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5">
      <c r="A15" s="5"/>
      <c r="B15" s="1" t="s">
        <v>20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5"/>
      <c r="B16" s="1" t="s">
        <v>21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42" t="s">
        <v>4</v>
      </c>
      <c r="B18" s="67" t="s">
        <v>5</v>
      </c>
      <c r="C18" s="67"/>
      <c r="D18" s="67"/>
      <c r="E18" s="67"/>
      <c r="F18" s="67"/>
      <c r="G18" s="67"/>
      <c r="H18" s="67"/>
      <c r="I18" s="67"/>
      <c r="J18" s="42"/>
      <c r="K18" s="53" t="s">
        <v>6</v>
      </c>
    </row>
    <row r="19" spans="1:11" ht="18" customHeight="1" x14ac:dyDescent="0.25">
      <c r="A19" s="44">
        <v>1</v>
      </c>
      <c r="B19" s="45" t="s">
        <v>69</v>
      </c>
      <c r="C19" s="46">
        <v>3</v>
      </c>
      <c r="D19" s="47" t="s">
        <v>7</v>
      </c>
      <c r="E19" s="47" t="s">
        <v>8</v>
      </c>
      <c r="F19" s="47" t="s">
        <v>9</v>
      </c>
      <c r="G19" s="48">
        <v>530000</v>
      </c>
      <c r="H19" s="47" t="s">
        <v>10</v>
      </c>
      <c r="I19" s="43">
        <f>C19*G19</f>
        <v>1590000</v>
      </c>
      <c r="J19" s="52" t="s">
        <v>53</v>
      </c>
      <c r="K19" s="51">
        <f>I19</f>
        <v>1590000</v>
      </c>
    </row>
    <row r="20" spans="1:11" ht="18" customHeight="1" x14ac:dyDescent="0.25">
      <c r="A20" s="44">
        <v>2</v>
      </c>
      <c r="B20" s="45" t="s">
        <v>11</v>
      </c>
      <c r="C20" s="46">
        <v>3</v>
      </c>
      <c r="D20" s="47" t="s">
        <v>7</v>
      </c>
      <c r="E20" s="47" t="s">
        <v>8</v>
      </c>
      <c r="F20" s="47" t="s">
        <v>9</v>
      </c>
      <c r="G20" s="48">
        <v>250000</v>
      </c>
      <c r="H20" s="47" t="s">
        <v>10</v>
      </c>
      <c r="I20" s="43">
        <f t="shared" ref="I20:I24" si="0">C20*G20</f>
        <v>750000</v>
      </c>
      <c r="J20" s="52" t="s">
        <v>53</v>
      </c>
      <c r="K20" s="51">
        <f>I20</f>
        <v>750000</v>
      </c>
    </row>
    <row r="21" spans="1:11" ht="18" customHeight="1" x14ac:dyDescent="0.25">
      <c r="A21" s="44">
        <v>3</v>
      </c>
      <c r="B21" s="45" t="s">
        <v>70</v>
      </c>
      <c r="C21" s="46">
        <v>1</v>
      </c>
      <c r="D21" s="47" t="s">
        <v>7</v>
      </c>
      <c r="E21" s="47" t="s">
        <v>8</v>
      </c>
      <c r="F21" s="47" t="s">
        <v>9</v>
      </c>
      <c r="G21" s="48">
        <v>711000</v>
      </c>
      <c r="H21" s="47" t="s">
        <v>10</v>
      </c>
      <c r="I21" s="43">
        <f t="shared" si="0"/>
        <v>711000</v>
      </c>
      <c r="J21" s="52" t="s">
        <v>53</v>
      </c>
      <c r="K21" s="51">
        <f>I21</f>
        <v>711000</v>
      </c>
    </row>
    <row r="22" spans="1:11" ht="18" customHeight="1" x14ac:dyDescent="0.25">
      <c r="A22" s="44"/>
      <c r="B22" s="45" t="s">
        <v>71</v>
      </c>
      <c r="C22" s="46">
        <v>3</v>
      </c>
      <c r="D22" s="47" t="s">
        <v>7</v>
      </c>
      <c r="E22" s="47" t="s">
        <v>8</v>
      </c>
      <c r="F22" s="47" t="s">
        <v>9</v>
      </c>
      <c r="G22" s="48">
        <v>447000</v>
      </c>
      <c r="H22" s="47" t="s">
        <v>10</v>
      </c>
      <c r="I22" s="43">
        <f t="shared" ref="I22" si="1">C22*G22</f>
        <v>1341000</v>
      </c>
      <c r="J22" s="52" t="s">
        <v>53</v>
      </c>
      <c r="K22" s="51">
        <f>I22</f>
        <v>1341000</v>
      </c>
    </row>
    <row r="23" spans="1:11" x14ac:dyDescent="0.25">
      <c r="A23" s="44">
        <v>4</v>
      </c>
      <c r="B23" s="62" t="s">
        <v>13</v>
      </c>
      <c r="C23" s="63"/>
      <c r="D23" s="63"/>
      <c r="E23" s="63"/>
      <c r="F23" s="63"/>
      <c r="G23" s="63"/>
      <c r="H23" s="63"/>
      <c r="I23" s="64"/>
      <c r="J23" s="52"/>
      <c r="K23" s="52"/>
    </row>
    <row r="24" spans="1:11" ht="18" customHeight="1" x14ac:dyDescent="0.25">
      <c r="A24" s="44"/>
      <c r="B24" s="45"/>
      <c r="C24" s="46">
        <v>0</v>
      </c>
      <c r="D24" s="47" t="s">
        <v>7</v>
      </c>
      <c r="E24" s="47" t="s">
        <v>8</v>
      </c>
      <c r="F24" s="47" t="s">
        <v>9</v>
      </c>
      <c r="G24" s="48">
        <v>0</v>
      </c>
      <c r="H24" s="47" t="s">
        <v>10</v>
      </c>
      <c r="I24" s="43">
        <f t="shared" si="0"/>
        <v>0</v>
      </c>
      <c r="J24" s="52" t="s">
        <v>53</v>
      </c>
      <c r="K24" s="54">
        <v>0</v>
      </c>
    </row>
    <row r="25" spans="1:11" x14ac:dyDescent="0.25">
      <c r="A25" s="44">
        <v>5</v>
      </c>
      <c r="B25" s="65" t="s">
        <v>14</v>
      </c>
      <c r="C25" s="65"/>
      <c r="D25" s="65"/>
      <c r="E25" s="65"/>
      <c r="F25" s="65"/>
      <c r="G25" s="65"/>
      <c r="H25" s="65"/>
      <c r="I25" s="65"/>
      <c r="J25" s="52"/>
      <c r="K25" s="52"/>
    </row>
    <row r="26" spans="1:11" ht="18" customHeight="1" x14ac:dyDescent="0.25">
      <c r="A26" s="44"/>
      <c r="B26" s="45"/>
      <c r="C26" s="46">
        <v>0</v>
      </c>
      <c r="D26" s="47" t="s">
        <v>7</v>
      </c>
      <c r="E26" s="47" t="s">
        <v>8</v>
      </c>
      <c r="F26" s="47" t="s">
        <v>9</v>
      </c>
      <c r="G26" s="48">
        <v>0</v>
      </c>
      <c r="H26" s="47" t="s">
        <v>10</v>
      </c>
      <c r="I26" s="49" t="s">
        <v>12</v>
      </c>
      <c r="J26" s="52" t="s">
        <v>53</v>
      </c>
      <c r="K26" s="54">
        <v>0</v>
      </c>
    </row>
    <row r="27" spans="1:11" ht="18" customHeight="1" x14ac:dyDescent="0.25">
      <c r="A27" s="44">
        <v>6</v>
      </c>
      <c r="B27" s="65" t="s">
        <v>15</v>
      </c>
      <c r="C27" s="65"/>
      <c r="D27" s="65"/>
      <c r="E27" s="65"/>
      <c r="F27" s="65"/>
      <c r="G27" s="65"/>
      <c r="H27" s="65"/>
      <c r="I27" s="65"/>
      <c r="J27" s="52"/>
      <c r="K27" s="52"/>
    </row>
    <row r="28" spans="1:11" ht="18" customHeight="1" x14ac:dyDescent="0.25">
      <c r="A28" s="50"/>
      <c r="B28" s="45"/>
      <c r="C28" s="46">
        <v>0</v>
      </c>
      <c r="D28" s="47" t="s">
        <v>7</v>
      </c>
      <c r="E28" s="47" t="s">
        <v>8</v>
      </c>
      <c r="F28" s="47" t="s">
        <v>9</v>
      </c>
      <c r="G28" s="48">
        <v>0</v>
      </c>
      <c r="H28" s="47" t="s">
        <v>10</v>
      </c>
      <c r="I28" s="49" t="s">
        <v>12</v>
      </c>
      <c r="J28" s="52" t="s">
        <v>53</v>
      </c>
      <c r="K28" s="54">
        <v>0</v>
      </c>
    </row>
    <row r="29" spans="1:11" ht="18" customHeight="1" x14ac:dyDescent="0.25">
      <c r="A29" s="2"/>
      <c r="B29" s="68" t="s">
        <v>6</v>
      </c>
      <c r="C29" s="68"/>
      <c r="D29" s="68"/>
      <c r="E29" s="68"/>
      <c r="F29" s="68"/>
      <c r="G29" s="68"/>
      <c r="H29" s="68"/>
      <c r="I29" s="68"/>
      <c r="J29" s="9"/>
      <c r="K29" s="55">
        <f>SUM(K19:K22)</f>
        <v>4392000</v>
      </c>
    </row>
    <row r="30" spans="1:11" ht="13.5" customHeight="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ht="15.75" x14ac:dyDescent="0.25">
      <c r="A31" s="3">
        <v>2</v>
      </c>
      <c r="B31" s="4" t="s">
        <v>54</v>
      </c>
      <c r="C31" s="4"/>
      <c r="D31" s="4"/>
      <c r="E31" s="4"/>
      <c r="F31" s="4"/>
      <c r="G31" s="4"/>
      <c r="H31" s="4"/>
      <c r="I31" s="4"/>
      <c r="J31" s="4"/>
      <c r="K31" s="4"/>
    </row>
    <row r="32" spans="1:11" ht="15.75" x14ac:dyDescent="0.25">
      <c r="A32" s="1"/>
      <c r="B32" s="4" t="s">
        <v>55</v>
      </c>
      <c r="C32" s="4"/>
      <c r="D32" s="4"/>
      <c r="E32" s="4"/>
      <c r="F32" s="4"/>
      <c r="G32" s="4"/>
      <c r="H32" s="4"/>
      <c r="I32" s="4"/>
      <c r="J32" s="4"/>
      <c r="K32" s="4"/>
    </row>
    <row r="33" spans="1:11" ht="15.75" x14ac:dyDescent="0.25">
      <c r="A33" s="4"/>
      <c r="B33" s="4" t="s">
        <v>56</v>
      </c>
      <c r="C33" s="4"/>
      <c r="D33" s="4"/>
      <c r="E33" s="4"/>
      <c r="F33" s="4"/>
      <c r="G33" s="4"/>
      <c r="H33" s="4"/>
      <c r="I33" s="4"/>
      <c r="J33" s="4"/>
      <c r="K33" s="4"/>
    </row>
    <row r="34" spans="1:11" ht="15.7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15.75" x14ac:dyDescent="0.25">
      <c r="A35" s="4"/>
      <c r="B35" s="4" t="s">
        <v>58</v>
      </c>
      <c r="C35" s="4"/>
      <c r="D35" s="4"/>
      <c r="E35" s="4"/>
      <c r="F35" s="4"/>
      <c r="G35" s="4"/>
      <c r="H35" s="4"/>
      <c r="I35" s="4"/>
      <c r="J35" s="4"/>
      <c r="K35" s="4"/>
    </row>
    <row r="36" spans="1:11" ht="15.75" x14ac:dyDescent="0.25">
      <c r="B36" s="4" t="s">
        <v>57</v>
      </c>
    </row>
    <row r="38" spans="1:11" x14ac:dyDescent="0.25">
      <c r="I38" s="69"/>
      <c r="J38" s="69"/>
      <c r="K38" s="69"/>
    </row>
    <row r="39" spans="1:11" ht="15.75" x14ac:dyDescent="0.25">
      <c r="A39" s="66" t="s">
        <v>22</v>
      </c>
      <c r="B39" s="66"/>
      <c r="C39" s="66"/>
      <c r="D39" s="66"/>
      <c r="G39" s="59"/>
      <c r="H39" s="7" t="s">
        <v>77</v>
      </c>
      <c r="I39" s="7"/>
      <c r="J39" s="7"/>
      <c r="K39" s="7"/>
    </row>
    <row r="40" spans="1:11" ht="15.75" x14ac:dyDescent="0.25">
      <c r="A40" s="66" t="s">
        <v>23</v>
      </c>
      <c r="B40" s="66"/>
      <c r="C40" s="66"/>
      <c r="D40" s="66"/>
      <c r="G40" s="66" t="s">
        <v>32</v>
      </c>
      <c r="H40" s="66"/>
      <c r="I40" s="66"/>
      <c r="J40" s="66"/>
      <c r="K40" s="66"/>
    </row>
    <row r="41" spans="1:11" ht="15.75" x14ac:dyDescent="0.25">
      <c r="A41" s="7"/>
      <c r="B41" s="7"/>
      <c r="C41" s="7"/>
      <c r="D41" s="7"/>
      <c r="H41" s="4"/>
      <c r="I41" s="7"/>
      <c r="J41" s="7"/>
      <c r="K41" s="7"/>
    </row>
    <row r="42" spans="1:11" ht="15.75" x14ac:dyDescent="0.25">
      <c r="A42" s="7"/>
      <c r="B42" s="7"/>
      <c r="C42" s="7"/>
      <c r="D42" s="7"/>
      <c r="H42" s="4"/>
      <c r="I42" s="7"/>
      <c r="J42" s="7"/>
      <c r="K42" s="7"/>
    </row>
    <row r="43" spans="1:11" ht="15.75" x14ac:dyDescent="0.25">
      <c r="A43" s="7"/>
      <c r="B43" s="7"/>
      <c r="C43" s="7"/>
      <c r="D43" s="7"/>
      <c r="H43" s="4"/>
      <c r="I43" s="7"/>
      <c r="J43" s="7"/>
      <c r="K43" s="7"/>
    </row>
    <row r="44" spans="1:11" ht="15.75" x14ac:dyDescent="0.25">
      <c r="A44" s="70" t="s">
        <v>24</v>
      </c>
      <c r="B44" s="70"/>
      <c r="C44" s="70"/>
      <c r="D44" s="70"/>
      <c r="G44" s="71" t="s">
        <v>72</v>
      </c>
      <c r="H44" s="71"/>
      <c r="I44" s="71"/>
      <c r="J44" s="71"/>
      <c r="K44" s="71"/>
    </row>
    <row r="45" spans="1:11" ht="15.75" x14ac:dyDescent="0.25">
      <c r="A45" s="66" t="s">
        <v>25</v>
      </c>
      <c r="B45" s="66"/>
      <c r="C45" s="66"/>
      <c r="D45" s="66"/>
    </row>
  </sheetData>
  <mergeCells count="13">
    <mergeCell ref="A2:K2"/>
    <mergeCell ref="B23:I23"/>
    <mergeCell ref="B25:I25"/>
    <mergeCell ref="B27:I27"/>
    <mergeCell ref="A45:D45"/>
    <mergeCell ref="B18:I18"/>
    <mergeCell ref="B29:I29"/>
    <mergeCell ref="I38:K38"/>
    <mergeCell ref="A39:D39"/>
    <mergeCell ref="A40:D40"/>
    <mergeCell ref="A44:D44"/>
    <mergeCell ref="G40:K40"/>
    <mergeCell ref="G44:K44"/>
  </mergeCells>
  <pageMargins left="0.42" right="0.14000000000000001" top="0.75" bottom="0.75" header="0.34" footer="0.3"/>
  <pageSetup paperSize="9" scale="95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topLeftCell="A13" workbookViewId="0">
      <selection activeCell="G9" sqref="G9"/>
    </sheetView>
  </sheetViews>
  <sheetFormatPr defaultRowHeight="15" x14ac:dyDescent="0.25"/>
  <cols>
    <col min="9" max="9" width="17.7109375" customWidth="1"/>
    <col min="10" max="10" width="0.28515625" customWidth="1"/>
    <col min="11" max="11" width="13.42578125" hidden="1" customWidth="1"/>
  </cols>
  <sheetData>
    <row r="1" spans="1:11" ht="20.25" x14ac:dyDescent="0.3">
      <c r="A1" s="61" t="s">
        <v>26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15.7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.75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5.7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.75" x14ac:dyDescent="0.25">
      <c r="A5" s="1" t="s">
        <v>2</v>
      </c>
      <c r="B5" s="6" t="s">
        <v>80</v>
      </c>
      <c r="C5" s="4"/>
      <c r="D5" s="4"/>
      <c r="E5" s="4"/>
      <c r="F5" s="4"/>
      <c r="G5" s="4"/>
      <c r="H5" s="4"/>
      <c r="I5" s="4"/>
      <c r="J5" s="4"/>
      <c r="K5" s="4"/>
    </row>
    <row r="6" spans="1:11" ht="15.75" x14ac:dyDescent="0.25">
      <c r="A6" s="1" t="s">
        <v>16</v>
      </c>
      <c r="B6" s="1" t="s">
        <v>17</v>
      </c>
      <c r="C6" s="4"/>
      <c r="D6" s="4"/>
      <c r="E6" s="4"/>
      <c r="F6" s="4"/>
      <c r="G6" s="4"/>
      <c r="H6" s="4"/>
      <c r="I6" s="4"/>
      <c r="J6" s="4"/>
      <c r="K6" s="4"/>
    </row>
    <row r="7" spans="1:11" ht="15.75" x14ac:dyDescent="0.25">
      <c r="A7" s="1" t="s">
        <v>3</v>
      </c>
      <c r="B7" s="6" t="s">
        <v>81</v>
      </c>
      <c r="C7" s="4"/>
      <c r="D7" s="4"/>
      <c r="E7" s="4"/>
      <c r="F7" s="4"/>
      <c r="G7" s="4"/>
      <c r="H7" s="4"/>
      <c r="I7" s="4"/>
      <c r="J7" s="4"/>
      <c r="K7" s="4"/>
    </row>
    <row r="8" spans="1:11" ht="15.7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5.75" x14ac:dyDescent="0.25">
      <c r="A9" s="1" t="s">
        <v>27</v>
      </c>
      <c r="B9" s="1"/>
      <c r="C9" s="1"/>
      <c r="D9" s="1"/>
      <c r="E9" s="1"/>
      <c r="F9" s="1"/>
      <c r="G9" s="1"/>
      <c r="H9" s="1"/>
      <c r="I9" s="1"/>
      <c r="J9" s="1"/>
      <c r="K9" s="4"/>
    </row>
    <row r="10" spans="1:11" ht="15.75" x14ac:dyDescent="0.25">
      <c r="A10" s="1" t="s">
        <v>61</v>
      </c>
      <c r="B10" s="1"/>
      <c r="C10" s="1"/>
      <c r="D10" s="1"/>
      <c r="E10" s="1"/>
      <c r="F10" s="1"/>
      <c r="G10" s="1"/>
      <c r="H10" s="1"/>
      <c r="I10" s="1"/>
      <c r="J10" s="1"/>
      <c r="K10" s="4"/>
    </row>
    <row r="11" spans="1:11" ht="15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4"/>
    </row>
    <row r="12" spans="1:11" ht="15.75" x14ac:dyDescent="0.25">
      <c r="A12" s="3"/>
      <c r="B12" s="4" t="s">
        <v>30</v>
      </c>
      <c r="C12" s="4"/>
      <c r="D12" s="4" t="s">
        <v>82</v>
      </c>
      <c r="E12" s="4"/>
      <c r="F12" s="4"/>
      <c r="G12" s="4"/>
      <c r="H12" s="4" t="s">
        <v>84</v>
      </c>
      <c r="I12" s="4"/>
      <c r="J12" s="4"/>
      <c r="K12" s="4"/>
    </row>
    <row r="13" spans="1:11" ht="15.75" x14ac:dyDescent="0.25">
      <c r="A13" s="5"/>
      <c r="B13" s="1" t="s">
        <v>29</v>
      </c>
      <c r="C13" s="1"/>
      <c r="D13" s="4" t="s">
        <v>83</v>
      </c>
      <c r="E13" s="4"/>
      <c r="F13" s="4"/>
      <c r="G13" s="4"/>
      <c r="H13" s="4" t="s">
        <v>84</v>
      </c>
      <c r="I13" s="4"/>
      <c r="J13" s="1"/>
      <c r="K13" s="4"/>
    </row>
    <row r="14" spans="1:11" ht="15.75" x14ac:dyDescent="0.25">
      <c r="A14" s="5"/>
      <c r="B14" s="1"/>
      <c r="C14" s="1"/>
      <c r="D14" s="1"/>
      <c r="E14" s="1"/>
      <c r="F14" s="1"/>
      <c r="G14" s="1"/>
      <c r="H14" s="1"/>
      <c r="I14" s="1"/>
      <c r="J14" s="1"/>
      <c r="K14" s="4"/>
    </row>
    <row r="15" spans="1:11" ht="15.75" x14ac:dyDescent="0.25">
      <c r="A15" s="4"/>
      <c r="B15" s="4" t="s">
        <v>28</v>
      </c>
      <c r="C15" s="4"/>
      <c r="D15" s="7" t="s">
        <v>85</v>
      </c>
      <c r="E15" s="4"/>
      <c r="F15" s="4"/>
      <c r="G15" s="4"/>
      <c r="H15" s="4"/>
      <c r="I15" s="4"/>
      <c r="J15" s="4"/>
      <c r="K15" s="4"/>
    </row>
    <row r="16" spans="1:11" ht="15.7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5.75" customHeight="1" x14ac:dyDescent="0.25">
      <c r="A17" s="72" t="s">
        <v>31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</row>
    <row r="18" spans="1:11" ht="15.75" x14ac:dyDescent="0.25">
      <c r="A18" s="1" t="s">
        <v>59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5.7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5.7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5.75" x14ac:dyDescent="0.25">
      <c r="A21" s="4" t="s">
        <v>33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5.7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5.7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5.75" x14ac:dyDescent="0.25">
      <c r="A24" s="4"/>
      <c r="B24" s="4"/>
      <c r="C24" s="4"/>
      <c r="D24" s="4"/>
      <c r="E24" s="4"/>
      <c r="F24" s="73" t="s">
        <v>86</v>
      </c>
      <c r="G24" s="73"/>
      <c r="H24" s="73"/>
      <c r="I24" s="73"/>
      <c r="J24" s="4"/>
      <c r="K24" s="4"/>
    </row>
    <row r="25" spans="1:11" ht="15.75" x14ac:dyDescent="0.25">
      <c r="A25" s="66"/>
      <c r="B25" s="66"/>
      <c r="C25" s="66"/>
      <c r="D25" s="66"/>
      <c r="E25" s="4"/>
      <c r="F25" s="66" t="s">
        <v>32</v>
      </c>
      <c r="G25" s="66"/>
      <c r="H25" s="66"/>
      <c r="I25" s="66"/>
      <c r="J25" s="7"/>
      <c r="K25" s="7"/>
    </row>
    <row r="26" spans="1:11" ht="15.75" x14ac:dyDescent="0.25">
      <c r="A26" s="7"/>
      <c r="B26" s="7"/>
      <c r="C26" s="7"/>
      <c r="D26" s="7"/>
      <c r="E26" s="4"/>
      <c r="F26" s="11"/>
      <c r="G26" s="10"/>
      <c r="H26" s="11"/>
      <c r="I26" s="11"/>
      <c r="J26" s="7"/>
      <c r="K26" s="7"/>
    </row>
    <row r="27" spans="1:11" ht="15.75" x14ac:dyDescent="0.25">
      <c r="A27" s="7"/>
      <c r="B27" s="7"/>
      <c r="C27" s="7"/>
      <c r="D27" s="7"/>
      <c r="E27" s="4"/>
      <c r="F27" s="11"/>
      <c r="G27" s="10"/>
      <c r="H27" s="11"/>
      <c r="I27" s="11"/>
      <c r="J27" s="7"/>
      <c r="K27" s="7"/>
    </row>
    <row r="28" spans="1:11" ht="15.75" x14ac:dyDescent="0.25">
      <c r="A28" s="7"/>
      <c r="B28" s="7"/>
      <c r="C28" s="7"/>
      <c r="D28" s="7"/>
      <c r="E28" s="4"/>
      <c r="F28" s="11"/>
      <c r="G28" s="10"/>
      <c r="H28" s="11"/>
      <c r="I28" s="11"/>
      <c r="J28" s="7"/>
      <c r="K28" s="7"/>
    </row>
    <row r="29" spans="1:11" ht="15.75" x14ac:dyDescent="0.25">
      <c r="A29" s="7"/>
      <c r="B29" s="7"/>
      <c r="C29" s="7"/>
      <c r="D29" s="7"/>
      <c r="E29" s="4"/>
      <c r="F29" s="11"/>
      <c r="G29" s="10"/>
      <c r="H29" s="11"/>
      <c r="I29" s="11"/>
      <c r="J29" s="7"/>
      <c r="K29" s="7"/>
    </row>
    <row r="30" spans="1:11" ht="15.75" x14ac:dyDescent="0.25">
      <c r="A30" s="70"/>
      <c r="B30" s="70"/>
      <c r="C30" s="70"/>
      <c r="D30" s="70"/>
      <c r="E30" s="4"/>
      <c r="F30" s="71" t="s">
        <v>72</v>
      </c>
      <c r="G30" s="71"/>
      <c r="H30" s="71"/>
      <c r="I30" s="71"/>
      <c r="J30" s="7"/>
      <c r="K30" s="7"/>
    </row>
  </sheetData>
  <mergeCells count="7">
    <mergeCell ref="A17:K17"/>
    <mergeCell ref="A1:K1"/>
    <mergeCell ref="A25:D25"/>
    <mergeCell ref="A30:D30"/>
    <mergeCell ref="F30:I30"/>
    <mergeCell ref="F25:I25"/>
    <mergeCell ref="F24:I2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J45"/>
  <sheetViews>
    <sheetView tabSelected="1" view="pageBreakPreview" topLeftCell="A4" zoomScale="85" zoomScaleNormal="90" zoomScaleSheetLayoutView="85" workbookViewId="0">
      <selection activeCell="I31" sqref="I31"/>
    </sheetView>
  </sheetViews>
  <sheetFormatPr defaultColWidth="9.140625" defaultRowHeight="15.75" customHeight="1" x14ac:dyDescent="0.25"/>
  <cols>
    <col min="1" max="1" width="3.42578125" style="14" customWidth="1"/>
    <col min="2" max="2" width="2.28515625" style="14" customWidth="1"/>
    <col min="3" max="3" width="29.85546875" style="14" customWidth="1"/>
    <col min="4" max="4" width="1.85546875" style="14" customWidth="1"/>
    <col min="5" max="5" width="16.42578125" style="14" customWidth="1"/>
    <col min="6" max="6" width="3.7109375" style="39" customWidth="1"/>
    <col min="7" max="7" width="4.140625" style="39" customWidth="1"/>
    <col min="8" max="8" width="18.42578125" style="14" customWidth="1"/>
    <col min="9" max="9" width="22.42578125" style="14" customWidth="1"/>
    <col min="10" max="10" width="32.7109375" style="15" customWidth="1"/>
    <col min="11" max="16384" width="9.140625" style="14"/>
  </cols>
  <sheetData>
    <row r="1" spans="1:10" ht="15.75" customHeight="1" x14ac:dyDescent="0.25">
      <c r="A1" s="75" t="s">
        <v>34</v>
      </c>
      <c r="B1" s="75"/>
      <c r="C1" s="75"/>
      <c r="D1" s="75"/>
      <c r="E1" s="75"/>
      <c r="F1" s="75"/>
      <c r="G1" s="75"/>
      <c r="H1" s="75"/>
      <c r="I1" s="75"/>
    </row>
    <row r="2" spans="1:10" ht="15.75" customHeight="1" x14ac:dyDescent="0.25">
      <c r="A2" s="12"/>
      <c r="B2" s="12"/>
      <c r="C2" s="12"/>
      <c r="D2" s="12"/>
      <c r="E2" s="12"/>
      <c r="F2" s="13"/>
      <c r="G2" s="13"/>
      <c r="H2" s="12"/>
      <c r="I2" s="16"/>
    </row>
    <row r="3" spans="1:10" ht="15.75" customHeight="1" x14ac:dyDescent="0.25">
      <c r="A3" s="17" t="s">
        <v>35</v>
      </c>
      <c r="B3" s="18"/>
      <c r="C3" s="18"/>
      <c r="D3" s="18" t="s">
        <v>36</v>
      </c>
      <c r="E3" s="56" t="s">
        <v>72</v>
      </c>
      <c r="F3" s="19"/>
      <c r="G3" s="19"/>
      <c r="H3" s="18"/>
      <c r="I3" s="20"/>
    </row>
    <row r="4" spans="1:10" ht="15.75" customHeight="1" x14ac:dyDescent="0.25">
      <c r="A4" s="21" t="s">
        <v>37</v>
      </c>
      <c r="B4" s="12"/>
      <c r="C4" s="12"/>
      <c r="D4" s="12" t="s">
        <v>36</v>
      </c>
      <c r="E4" s="77" t="s">
        <v>73</v>
      </c>
      <c r="F4" s="77"/>
      <c r="G4" s="77"/>
      <c r="H4" s="77"/>
      <c r="I4" s="78"/>
      <c r="J4" s="15" t="s">
        <v>38</v>
      </c>
    </row>
    <row r="5" spans="1:10" ht="15.75" customHeight="1" x14ac:dyDescent="0.25">
      <c r="A5" s="23" t="s">
        <v>39</v>
      </c>
      <c r="B5" s="24"/>
      <c r="C5" s="24"/>
      <c r="D5" s="24" t="s">
        <v>36</v>
      </c>
      <c r="E5" s="25" t="s">
        <v>79</v>
      </c>
      <c r="F5" s="26"/>
      <c r="G5" s="26"/>
      <c r="H5" s="24"/>
      <c r="I5" s="27"/>
      <c r="J5" s="15" t="e">
        <f>I33+#REF!+#REF!+#REF!+#REF!+#REF!+#REF!+#REF!+#REF!+#REF!+#REF!</f>
        <v>#REF!</v>
      </c>
    </row>
    <row r="6" spans="1:10" ht="15.75" customHeight="1" x14ac:dyDescent="0.25">
      <c r="A6" s="21"/>
      <c r="B6" s="12"/>
      <c r="C6" s="12"/>
      <c r="D6" s="12"/>
      <c r="E6" s="12"/>
      <c r="F6" s="13"/>
      <c r="G6" s="28"/>
      <c r="H6" s="12"/>
      <c r="I6" s="22"/>
      <c r="J6" s="15" t="s">
        <v>40</v>
      </c>
    </row>
    <row r="7" spans="1:10" ht="15.75" customHeight="1" x14ac:dyDescent="0.25">
      <c r="A7" s="29">
        <v>1</v>
      </c>
      <c r="B7" s="30" t="s">
        <v>41</v>
      </c>
      <c r="C7" s="12" t="s">
        <v>42</v>
      </c>
      <c r="D7" s="12" t="s">
        <v>36</v>
      </c>
      <c r="E7" s="12" t="s">
        <v>62</v>
      </c>
      <c r="F7" s="13"/>
      <c r="G7" s="28"/>
      <c r="H7" s="60"/>
      <c r="I7" s="16"/>
      <c r="J7" s="15" t="e">
        <f>#REF!+#REF!+#REF!+#REF!+#REF!+#REF!+#REF!+#REF!</f>
        <v>#REF!</v>
      </c>
    </row>
    <row r="8" spans="1:10" ht="15.75" customHeight="1" x14ac:dyDescent="0.25">
      <c r="A8" s="29"/>
      <c r="B8" s="12"/>
      <c r="C8" s="12"/>
      <c r="D8" s="12"/>
      <c r="E8" s="12"/>
      <c r="F8" s="13"/>
      <c r="G8" s="28"/>
      <c r="H8" s="57"/>
      <c r="I8" s="22"/>
      <c r="J8" s="15" t="e">
        <f>J5+J7</f>
        <v>#REF!</v>
      </c>
    </row>
    <row r="9" spans="1:10" ht="15.75" customHeight="1" x14ac:dyDescent="0.25">
      <c r="A9" s="29"/>
      <c r="B9" s="12"/>
      <c r="C9" s="12"/>
      <c r="D9" s="12"/>
      <c r="E9" s="12"/>
      <c r="F9" s="13"/>
      <c r="G9" s="28"/>
      <c r="H9" s="57" t="s">
        <v>44</v>
      </c>
      <c r="I9" s="22"/>
    </row>
    <row r="10" spans="1:10" ht="15.75" customHeight="1" x14ac:dyDescent="0.25">
      <c r="A10" s="29"/>
      <c r="B10" s="30" t="s">
        <v>41</v>
      </c>
      <c r="C10" s="12" t="s">
        <v>43</v>
      </c>
      <c r="D10" s="12" t="s">
        <v>36</v>
      </c>
      <c r="E10" s="12"/>
      <c r="F10" s="13"/>
      <c r="G10" s="28"/>
      <c r="H10" s="57"/>
      <c r="I10" s="22"/>
    </row>
    <row r="11" spans="1:10" ht="15.75" customHeight="1" x14ac:dyDescent="0.25">
      <c r="A11" s="29"/>
      <c r="B11" s="12"/>
      <c r="C11" s="12"/>
      <c r="D11" s="12"/>
      <c r="E11" s="12"/>
      <c r="F11" s="13"/>
      <c r="G11" s="28"/>
      <c r="H11" s="12"/>
      <c r="I11" s="22"/>
    </row>
    <row r="12" spans="1:10" ht="15.75" customHeight="1" x14ac:dyDescent="0.25">
      <c r="A12" s="29">
        <v>2</v>
      </c>
      <c r="B12" s="12"/>
      <c r="C12" s="12" t="s">
        <v>45</v>
      </c>
      <c r="D12" s="12" t="s">
        <v>36</v>
      </c>
      <c r="E12" s="12"/>
      <c r="F12" s="13"/>
      <c r="G12" s="28"/>
      <c r="H12" s="12"/>
      <c r="I12" s="22">
        <f>SUM(E12:E16)</f>
        <v>0</v>
      </c>
    </row>
    <row r="13" spans="1:10" ht="15.75" customHeight="1" x14ac:dyDescent="0.25">
      <c r="A13" s="29"/>
      <c r="B13" s="12"/>
      <c r="C13" s="12"/>
      <c r="D13" s="12"/>
      <c r="E13" s="12" t="s">
        <v>44</v>
      </c>
      <c r="F13" s="13"/>
      <c r="G13" s="28"/>
      <c r="H13" s="12"/>
      <c r="I13" s="22" t="s">
        <v>44</v>
      </c>
    </row>
    <row r="14" spans="1:10" ht="15.75" customHeight="1" x14ac:dyDescent="0.25">
      <c r="A14" s="29">
        <v>3</v>
      </c>
      <c r="B14" s="12"/>
      <c r="C14" s="12" t="s">
        <v>46</v>
      </c>
      <c r="D14" s="12" t="s">
        <v>36</v>
      </c>
      <c r="E14" s="12"/>
      <c r="F14" s="13"/>
      <c r="G14" s="28"/>
      <c r="H14" s="12"/>
      <c r="I14" s="22"/>
    </row>
    <row r="15" spans="1:10" ht="15.75" customHeight="1" x14ac:dyDescent="0.25">
      <c r="A15" s="29"/>
      <c r="B15" s="12"/>
      <c r="C15" s="12"/>
      <c r="D15" s="12"/>
      <c r="E15" s="12">
        <v>0</v>
      </c>
      <c r="F15" s="13" t="s">
        <v>8</v>
      </c>
      <c r="G15" s="28">
        <v>0</v>
      </c>
      <c r="H15" s="12"/>
      <c r="I15" s="22">
        <f>E15*G15</f>
        <v>0</v>
      </c>
    </row>
    <row r="16" spans="1:10" ht="11.25" customHeight="1" x14ac:dyDescent="0.25">
      <c r="A16" s="29"/>
      <c r="B16" s="12"/>
      <c r="C16" s="12"/>
      <c r="D16" s="12"/>
      <c r="E16" s="12"/>
      <c r="F16" s="13"/>
      <c r="G16" s="28"/>
      <c r="H16" s="12"/>
      <c r="I16" s="22"/>
    </row>
    <row r="17" spans="1:9" ht="15.75" customHeight="1" x14ac:dyDescent="0.25">
      <c r="A17" s="29">
        <v>4</v>
      </c>
      <c r="B17" s="12"/>
      <c r="C17" s="12" t="s">
        <v>47</v>
      </c>
      <c r="D17" s="12"/>
      <c r="E17" s="12">
        <v>0</v>
      </c>
      <c r="F17" s="13" t="s">
        <v>8</v>
      </c>
      <c r="G17" s="28">
        <v>0</v>
      </c>
      <c r="H17" s="12"/>
      <c r="I17" s="22">
        <f>E17*G17</f>
        <v>0</v>
      </c>
    </row>
    <row r="18" spans="1:9" ht="15.75" customHeight="1" x14ac:dyDescent="0.25">
      <c r="A18" s="29"/>
      <c r="B18" s="12"/>
      <c r="C18" s="12"/>
      <c r="D18" s="12"/>
      <c r="E18" s="12"/>
      <c r="F18" s="13"/>
      <c r="G18" s="28"/>
      <c r="H18" s="12"/>
      <c r="I18" s="22"/>
    </row>
    <row r="19" spans="1:9" ht="15.75" customHeight="1" x14ac:dyDescent="0.25">
      <c r="A19" s="31">
        <v>5</v>
      </c>
      <c r="B19" s="32"/>
      <c r="C19" s="32" t="s">
        <v>74</v>
      </c>
      <c r="D19" s="32" t="s">
        <v>36</v>
      </c>
      <c r="E19" s="12">
        <v>430000</v>
      </c>
      <c r="F19" s="33" t="s">
        <v>8</v>
      </c>
      <c r="G19" s="34">
        <v>5</v>
      </c>
      <c r="H19" s="32"/>
      <c r="I19" s="35">
        <v>0</v>
      </c>
    </row>
    <row r="20" spans="1:9" ht="15.75" customHeight="1" x14ac:dyDescent="0.25">
      <c r="A20" s="31"/>
      <c r="B20" s="32"/>
      <c r="C20" s="32"/>
      <c r="D20" s="32"/>
      <c r="E20" s="12"/>
      <c r="F20" s="33"/>
      <c r="G20" s="34"/>
      <c r="H20" s="32"/>
      <c r="I20" s="35"/>
    </row>
    <row r="21" spans="1:9" ht="15.75" customHeight="1" x14ac:dyDescent="0.25">
      <c r="A21" s="29"/>
      <c r="B21" s="12"/>
      <c r="C21" s="32" t="s">
        <v>11</v>
      </c>
      <c r="D21" s="12"/>
      <c r="E21" s="12">
        <v>250000</v>
      </c>
      <c r="F21" s="33" t="s">
        <v>8</v>
      </c>
      <c r="G21" s="34">
        <v>5</v>
      </c>
      <c r="H21" s="12"/>
      <c r="I21" s="35">
        <v>0</v>
      </c>
    </row>
    <row r="22" spans="1:9" ht="15.75" customHeight="1" x14ac:dyDescent="0.25">
      <c r="A22" s="29"/>
      <c r="B22" s="12"/>
      <c r="C22" s="12"/>
      <c r="D22" s="12"/>
      <c r="E22" s="12"/>
      <c r="F22" s="33"/>
      <c r="G22" s="34"/>
      <c r="H22" s="12"/>
      <c r="I22" s="35"/>
    </row>
    <row r="23" spans="1:9" ht="15.75" customHeight="1" x14ac:dyDescent="0.25">
      <c r="A23" s="29">
        <v>6</v>
      </c>
      <c r="B23" s="12"/>
      <c r="C23" s="12" t="s">
        <v>75</v>
      </c>
      <c r="D23" s="12" t="s">
        <v>36</v>
      </c>
      <c r="E23" s="12">
        <v>826500</v>
      </c>
      <c r="F23" s="13" t="s">
        <v>8</v>
      </c>
      <c r="G23" s="28">
        <v>4</v>
      </c>
      <c r="H23" s="12" t="s">
        <v>76</v>
      </c>
      <c r="I23" s="22">
        <v>0</v>
      </c>
    </row>
    <row r="24" spans="1:9" ht="15.75" customHeight="1" x14ac:dyDescent="0.25">
      <c r="A24" s="29"/>
      <c r="B24" s="12"/>
      <c r="C24" s="12"/>
      <c r="D24" s="12"/>
      <c r="E24" s="12"/>
      <c r="F24" s="13"/>
      <c r="G24" s="28"/>
      <c r="H24" s="12"/>
      <c r="I24" s="22"/>
    </row>
    <row r="25" spans="1:9" ht="15" customHeight="1" x14ac:dyDescent="0.25">
      <c r="A25" s="29"/>
      <c r="B25" s="12"/>
      <c r="C25" s="12"/>
      <c r="D25" s="12"/>
      <c r="E25" s="12"/>
      <c r="F25" s="13"/>
      <c r="G25" s="28"/>
      <c r="H25" s="12"/>
      <c r="I25" s="22"/>
    </row>
    <row r="26" spans="1:9" ht="15.75" customHeight="1" x14ac:dyDescent="0.25">
      <c r="A26" s="29">
        <v>7</v>
      </c>
      <c r="B26" s="12"/>
      <c r="C26" s="12" t="s">
        <v>48</v>
      </c>
      <c r="D26" s="12" t="s">
        <v>36</v>
      </c>
      <c r="E26" s="12">
        <v>0</v>
      </c>
      <c r="F26" s="13" t="s">
        <v>8</v>
      </c>
      <c r="G26" s="28">
        <v>0</v>
      </c>
      <c r="H26" s="12"/>
      <c r="I26" s="22">
        <f>E26*G26</f>
        <v>0</v>
      </c>
    </row>
    <row r="27" spans="1:9" ht="15.75" customHeight="1" x14ac:dyDescent="0.25">
      <c r="A27" s="29"/>
      <c r="B27" s="12"/>
      <c r="C27" s="12"/>
      <c r="D27" s="12"/>
      <c r="E27" s="12"/>
      <c r="F27" s="13"/>
      <c r="G27" s="28"/>
      <c r="H27" s="12"/>
      <c r="I27" s="22"/>
    </row>
    <row r="28" spans="1:9" ht="15.75" customHeight="1" x14ac:dyDescent="0.25">
      <c r="A28" s="29">
        <v>8</v>
      </c>
      <c r="B28" s="12"/>
      <c r="C28" s="12" t="s">
        <v>49</v>
      </c>
      <c r="D28" s="12" t="s">
        <v>36</v>
      </c>
      <c r="E28" s="12">
        <v>0</v>
      </c>
      <c r="F28" s="13" t="s">
        <v>8</v>
      </c>
      <c r="G28" s="28">
        <v>0</v>
      </c>
      <c r="H28" s="12"/>
      <c r="I28" s="22">
        <f>E28*G28</f>
        <v>0</v>
      </c>
    </row>
    <row r="29" spans="1:9" ht="15.75" customHeight="1" x14ac:dyDescent="0.25">
      <c r="A29" s="29"/>
      <c r="B29" s="12"/>
      <c r="C29" s="12" t="s">
        <v>60</v>
      </c>
      <c r="D29" s="12"/>
      <c r="E29" s="12"/>
      <c r="F29" s="13"/>
      <c r="G29" s="28"/>
      <c r="H29" s="12"/>
      <c r="I29" s="22"/>
    </row>
    <row r="30" spans="1:9" ht="15.75" customHeight="1" x14ac:dyDescent="0.25">
      <c r="A30" s="29"/>
      <c r="B30" s="12"/>
      <c r="C30" s="12"/>
      <c r="D30" s="12"/>
      <c r="E30" s="12"/>
      <c r="F30" s="13"/>
      <c r="G30" s="28"/>
      <c r="H30" s="12"/>
      <c r="I30" s="22"/>
    </row>
    <row r="31" spans="1:9" ht="15.75" customHeight="1" x14ac:dyDescent="0.25">
      <c r="A31" s="29">
        <v>9</v>
      </c>
      <c r="B31" s="12"/>
      <c r="C31" s="12" t="s">
        <v>50</v>
      </c>
      <c r="D31" s="12" t="s">
        <v>36</v>
      </c>
      <c r="E31" s="12"/>
      <c r="F31" s="13"/>
      <c r="G31" s="28"/>
      <c r="H31" s="12"/>
      <c r="I31" s="22"/>
    </row>
    <row r="32" spans="1:9" ht="15.75" customHeight="1" x14ac:dyDescent="0.25">
      <c r="A32" s="29"/>
      <c r="B32" s="12"/>
      <c r="C32" s="12"/>
      <c r="D32" s="12"/>
      <c r="E32" s="12"/>
      <c r="F32" s="13"/>
      <c r="G32" s="28" t="s">
        <v>6</v>
      </c>
      <c r="H32" s="12"/>
      <c r="I32" s="20">
        <f>SUM(I31,I28,I26,I23,I21,I19,I17,I15,I12,I10,I7)</f>
        <v>0</v>
      </c>
    </row>
    <row r="33" spans="1:10" ht="15.75" customHeight="1" x14ac:dyDescent="0.25">
      <c r="A33" s="29"/>
      <c r="B33" s="12"/>
      <c r="C33" s="12"/>
      <c r="D33" s="12"/>
      <c r="E33" s="12"/>
      <c r="F33" s="13"/>
      <c r="G33" s="28" t="s">
        <v>51</v>
      </c>
      <c r="H33" s="12"/>
      <c r="I33" s="22">
        <f>SUM(I32)</f>
        <v>0</v>
      </c>
    </row>
    <row r="34" spans="1:10" ht="15.75" customHeight="1" x14ac:dyDescent="0.25">
      <c r="A34" s="29"/>
      <c r="B34" s="12"/>
      <c r="C34" s="12"/>
      <c r="D34" s="12"/>
      <c r="E34" s="12"/>
      <c r="F34" s="13"/>
      <c r="G34" s="28"/>
      <c r="H34" s="12"/>
      <c r="I34" s="22"/>
    </row>
    <row r="35" spans="1:10" ht="15.75" customHeight="1" x14ac:dyDescent="0.25">
      <c r="A35" s="29"/>
      <c r="B35" s="12"/>
      <c r="C35" s="12" t="s">
        <v>65</v>
      </c>
      <c r="D35" s="12"/>
      <c r="E35" s="12"/>
      <c r="F35" s="13"/>
      <c r="G35" s="28"/>
      <c r="H35" s="12"/>
      <c r="I35" s="22">
        <f>SUM(I32)</f>
        <v>0</v>
      </c>
    </row>
    <row r="36" spans="1:10" ht="6.75" customHeight="1" x14ac:dyDescent="0.25">
      <c r="A36" s="36"/>
      <c r="B36" s="24"/>
      <c r="C36" s="24"/>
      <c r="D36" s="24"/>
      <c r="E36" s="24"/>
      <c r="F36" s="26"/>
      <c r="G36" s="37"/>
      <c r="H36" s="24"/>
      <c r="I36" s="27"/>
    </row>
    <row r="37" spans="1:10" ht="15.75" customHeight="1" x14ac:dyDescent="0.25">
      <c r="A37" s="12"/>
      <c r="B37" s="12"/>
      <c r="C37" s="12"/>
      <c r="D37" s="12"/>
      <c r="E37" s="12"/>
      <c r="F37" s="13"/>
      <c r="G37" s="13"/>
      <c r="H37" s="12"/>
      <c r="I37" s="16"/>
    </row>
    <row r="38" spans="1:10" s="40" customFormat="1" ht="15.75" customHeight="1" x14ac:dyDescent="0.25">
      <c r="A38" s="38"/>
      <c r="B38" s="38"/>
      <c r="C38" s="38"/>
      <c r="D38" s="38"/>
      <c r="E38" s="38"/>
      <c r="F38" s="38"/>
      <c r="G38" s="74" t="s">
        <v>78</v>
      </c>
      <c r="H38" s="74"/>
      <c r="I38" s="74"/>
      <c r="J38" s="41"/>
    </row>
    <row r="39" spans="1:10" s="40" customFormat="1" ht="15.75" customHeight="1" x14ac:dyDescent="0.25">
      <c r="A39" s="38"/>
      <c r="B39" s="38"/>
      <c r="C39" s="13" t="s">
        <v>52</v>
      </c>
      <c r="D39" s="13"/>
      <c r="E39" s="13"/>
      <c r="F39" s="13"/>
      <c r="G39" s="13"/>
      <c r="H39" s="13"/>
      <c r="I39" s="13"/>
      <c r="J39" s="41"/>
    </row>
    <row r="40" spans="1:10" s="40" customFormat="1" ht="15.75" customHeight="1" x14ac:dyDescent="0.25">
      <c r="A40" s="38"/>
      <c r="B40" s="38"/>
      <c r="C40" s="13" t="s">
        <v>64</v>
      </c>
      <c r="D40" s="13"/>
      <c r="E40" s="13"/>
      <c r="F40" s="13"/>
      <c r="G40" s="74" t="s">
        <v>63</v>
      </c>
      <c r="H40" s="74"/>
      <c r="I40" s="74"/>
      <c r="J40" s="41"/>
    </row>
    <row r="41" spans="1:10" s="40" customFormat="1" ht="15.75" customHeight="1" x14ac:dyDescent="0.25">
      <c r="A41" s="38"/>
      <c r="B41" s="38"/>
      <c r="C41" s="13"/>
      <c r="D41" s="13"/>
      <c r="E41" s="13"/>
      <c r="F41" s="13"/>
      <c r="G41" s="13"/>
      <c r="H41" s="13"/>
      <c r="I41" s="13"/>
      <c r="J41" s="41"/>
    </row>
    <row r="42" spans="1:10" s="40" customFormat="1" ht="15.75" customHeight="1" x14ac:dyDescent="0.25">
      <c r="A42" s="38"/>
      <c r="B42" s="38"/>
      <c r="C42" s="13"/>
      <c r="D42" s="13"/>
      <c r="E42" s="13"/>
      <c r="F42" s="13"/>
      <c r="G42" s="13"/>
      <c r="H42" s="13"/>
      <c r="I42" s="13"/>
      <c r="J42" s="41"/>
    </row>
    <row r="43" spans="1:10" s="40" customFormat="1" ht="15.75" customHeight="1" x14ac:dyDescent="0.25">
      <c r="A43" s="38"/>
      <c r="B43" s="38"/>
      <c r="C43" s="13"/>
      <c r="D43" s="13"/>
      <c r="E43" s="13"/>
      <c r="F43" s="13"/>
      <c r="G43" s="13"/>
      <c r="H43" s="13"/>
      <c r="I43" s="13"/>
      <c r="J43" s="41"/>
    </row>
    <row r="44" spans="1:10" s="40" customFormat="1" ht="15.75" customHeight="1" x14ac:dyDescent="0.25">
      <c r="A44" s="38"/>
      <c r="B44" s="38"/>
      <c r="C44" s="58" t="s">
        <v>24</v>
      </c>
      <c r="D44" s="13"/>
      <c r="E44" s="13"/>
      <c r="F44" s="13"/>
      <c r="G44" s="76" t="s">
        <v>66</v>
      </c>
      <c r="H44" s="76"/>
      <c r="I44" s="76"/>
      <c r="J44" s="41"/>
    </row>
    <row r="45" spans="1:10" s="40" customFormat="1" ht="15.75" customHeight="1" x14ac:dyDescent="0.25">
      <c r="A45" s="38"/>
      <c r="B45" s="38"/>
      <c r="C45" s="13" t="s">
        <v>25</v>
      </c>
      <c r="D45" s="13"/>
      <c r="E45" s="13"/>
      <c r="F45" s="13"/>
      <c r="G45" s="74" t="s">
        <v>67</v>
      </c>
      <c r="H45" s="74"/>
      <c r="I45" s="74"/>
      <c r="J45" s="41"/>
    </row>
  </sheetData>
  <mergeCells count="6">
    <mergeCell ref="G45:I45"/>
    <mergeCell ref="A1:I1"/>
    <mergeCell ref="G40:I40"/>
    <mergeCell ref="G44:I44"/>
    <mergeCell ref="G38:I38"/>
    <mergeCell ref="E4:I4"/>
  </mergeCells>
  <pageMargins left="0.23622047244094491" right="0.23622047244094491" top="2.0078740157480315" bottom="0.39370078740157483" header="0.31496062992125984" footer="0.23622047244094491"/>
  <pageSetup paperSize="9" scale="95" orientation="portrait" horizontalDpi="4294967293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DP RIIL</vt:lpstr>
      <vt:lpstr>SP TANGGUNG JAWAB</vt:lpstr>
      <vt:lpstr>KALKULASI</vt:lpstr>
      <vt:lpstr>'DP RIIL'!Print_Area</vt:lpstr>
      <vt:lpstr>KALKULASI!Print_Area</vt:lpstr>
      <vt:lpstr>'SP TANGGUNG JAWAB'!Print_Area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Olla</dc:creator>
  <cp:lastModifiedBy>Arthur Mawuntu</cp:lastModifiedBy>
  <cp:lastPrinted>2026-05-26T02:35:52Z</cp:lastPrinted>
  <dcterms:created xsi:type="dcterms:W3CDTF">2025-06-11T02:02:15Z</dcterms:created>
  <dcterms:modified xsi:type="dcterms:W3CDTF">2026-10-05T03:44:01Z</dcterms:modified>
</cp:coreProperties>
</file>